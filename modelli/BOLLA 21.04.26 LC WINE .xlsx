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<sst xmlns="http://schemas.openxmlformats.org/spreadsheetml/2006/main" count="47" uniqueCount="34">
  <si>
    <r>
      <rPr>
        <rFont val="Arial"/>
        <b/>
        <color theme="1"/>
        <sz val="14.0"/>
      </rPr>
      <t xml:space="preserve">MITTENTE: </t>
    </r>
    <r>
      <rPr>
        <rFont val="Arial"/>
        <b val="0"/>
        <color theme="1"/>
        <sz val="14.0"/>
      </rPr>
      <t>LC WINE SERVICE SRLS
SEDE OPERATIVA: SP39 KM 0,800
90047 PARTINICO (PA)
P.IVA 06798780828</t>
    </r>
    <r>
      <rPr>
        <rFont val="Arial"/>
        <b/>
        <color theme="1"/>
        <sz val="14.0"/>
      </rPr>
      <t xml:space="preserve">
</t>
    </r>
  </si>
  <si>
    <r>
      <rPr>
        <rFont val="Arial"/>
        <b/>
        <color theme="1"/>
        <sz val="14.0"/>
      </rPr>
      <t>DOCUMENTO DI TRASPORTO</t>
    </r>
    <r>
      <rPr>
        <rFont val="Arial"/>
        <color theme="1"/>
        <sz val="14.0"/>
      </rPr>
      <t xml:space="preserve">
N. 40/2026  DEL 21/04/2026
</t>
    </r>
  </si>
  <si>
    <r>
      <rPr>
        <rFont val="Arial"/>
        <b/>
        <color theme="1"/>
        <sz val="17.0"/>
      </rPr>
      <t xml:space="preserve">DESTINATARIO: 
</t>
    </r>
    <r>
      <rPr>
        <rFont val="Arial"/>
        <color theme="1"/>
        <sz val="17.0"/>
      </rPr>
      <t xml:space="preserve">SOCIETA' CORRADO 
SOC. AGR. SEMPL 
VIA BERNARDINO VERRO, 5  
90035 MARINEO (PA)
P.IVA 07203040824
</t>
    </r>
  </si>
  <si>
    <r>
      <rPr>
        <rFont val="Arial"/>
        <b/>
        <color theme="1"/>
        <sz val="14.0"/>
      </rPr>
      <t xml:space="preserve">CAUSALE DEL TRASPORTO:
</t>
    </r>
    <r>
      <rPr>
        <rFont val="Arial"/>
        <b val="0"/>
        <color theme="1"/>
        <sz val="14.0"/>
      </rPr>
      <t xml:space="preserve">RESO CONTO LAVORAZIONE
(SEGUE FATTURA)    </t>
    </r>
    <r>
      <rPr>
        <rFont val="Arial"/>
        <b/>
        <color theme="1"/>
        <sz val="14.0"/>
      </rPr>
      <t xml:space="preserve">    
</t>
    </r>
  </si>
  <si>
    <r>
      <rPr>
        <rFont val="Arial"/>
        <b/>
        <color theme="1"/>
        <sz val="14.0"/>
      </rPr>
      <t>LUOGO DI DESTINAZIONE:</t>
    </r>
    <r>
      <rPr>
        <rFont val="Arial"/>
        <color theme="1"/>
        <sz val="14.0"/>
      </rPr>
      <t xml:space="preserve">  
LO STESSO
</t>
    </r>
  </si>
  <si>
    <t>DESCRIZIONE PRODOTTO</t>
  </si>
  <si>
    <t>FARDELLI</t>
  </si>
  <si>
    <t>UNITA' DI MISURA</t>
  </si>
  <si>
    <t>QUANTITA'</t>
  </si>
  <si>
    <t>PET VINO CATARRATTO LITRI 2</t>
  </si>
  <si>
    <t>BT</t>
  </si>
  <si>
    <t>PET VINO ROSATO LITRI 2</t>
  </si>
  <si>
    <t>PET VINO MERLOT LITRI 2</t>
  </si>
  <si>
    <t>PET VINO IL NERO LITRI 2</t>
  </si>
  <si>
    <t>PET VINO BIANCO E.N. LITRI 2</t>
  </si>
  <si>
    <t>PET VINO ROSATO E.N. LITRI 2</t>
  </si>
  <si>
    <t>PET VINO ROSSO E. N. LITRI 2</t>
  </si>
  <si>
    <t>PET VINO CATARRATTO LITRI 1</t>
  </si>
  <si>
    <t>PET VINO ROSATO LITRI 1</t>
  </si>
  <si>
    <t>PET VINO MERLOT LITRI 1</t>
  </si>
  <si>
    <t>PET VINO BIANCO S.E. LITRI 1 DA 16</t>
  </si>
  <si>
    <t>PET VINO ROSATO S.E. LITRI 1 DA 16</t>
  </si>
  <si>
    <t>PET VINO ROSSO S.E. LITRI 1 DA 16</t>
  </si>
  <si>
    <t>BOTTIGLIA PET VUOTA 2LT</t>
  </si>
  <si>
    <t>X</t>
  </si>
  <si>
    <r>
      <rPr>
        <rFont val="Arial"/>
        <b/>
        <color theme="1"/>
      </rPr>
      <t xml:space="preserve">TRASPORTO A MEZZO:
</t>
    </r>
    <r>
      <rPr>
        <rFont val="Arial"/>
        <b val="0"/>
        <color theme="1"/>
      </rPr>
      <t xml:space="preserve">   X MITTENTE           □VETTORE        □ DESTINATARIO</t>
    </r>
    <r>
      <rPr>
        <rFont val="Arial"/>
        <b/>
        <color theme="1"/>
      </rPr>
      <t xml:space="preserve"> 
</t>
    </r>
  </si>
  <si>
    <r>
      <rPr>
        <rFont val="Arial"/>
        <b/>
        <color theme="1"/>
      </rPr>
      <t xml:space="preserve">DATA RITIRO
</t>
    </r>
    <r>
      <rPr>
        <rFont val="Arial"/>
        <b val="0"/>
        <color theme="1"/>
      </rPr>
      <t>21/04/2026</t>
    </r>
    <r>
      <rPr>
        <rFont val="Arial"/>
        <b/>
        <color theme="1"/>
      </rPr>
      <t xml:space="preserve">
</t>
    </r>
  </si>
  <si>
    <t>VETTORE:</t>
  </si>
  <si>
    <r>
      <rPr>
        <rFont val="Arial"/>
        <b/>
        <color theme="1"/>
      </rPr>
      <t xml:space="preserve">N. COLLI: </t>
    </r>
    <r>
      <rPr>
        <rFont val="Arial"/>
        <b val="0"/>
        <color theme="1"/>
      </rPr>
      <t xml:space="preserve">
</t>
    </r>
  </si>
  <si>
    <t>PESO:</t>
  </si>
  <si>
    <t>NOTE:</t>
  </si>
  <si>
    <t>FIRMA MITTENTE:</t>
  </si>
  <si>
    <t>FIRMA VETTORE:</t>
  </si>
  <si>
    <t>FIRMA DESTINATARIO: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</si>
</sst>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€-2]\ #,##0"/>
  </numFmts>
  <fonts count="11">
    <font>
      <sz val="10.0"/>
      <color rgb="FF000000"/>
      <name val="Arial"/>
      <scheme val="minor"/>
    </font>
    <font>
      <b/>
      <sz val="14.0"/>
      <color theme="1"/>
      <name val="Arial"/>
    </font>
    <font/>
    <font>
      <color theme="1"/>
      <name val="Arial"/>
      <scheme val="minor"/>
    </font>
    <font>
      <sz val="14.0"/>
      <color theme="1"/>
      <name val="Arial"/>
      <scheme val="minor"/>
    </font>
    <font>
      <sz val="17.0"/>
      <color theme="1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</font>
    <font>
      <sz val="16.0"/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2" fillId="0" fontId="3" numFmtId="0" xfId="0" applyBorder="1" applyFont="1"/>
    <xf borderId="2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4" fillId="0" fontId="2" numFmtId="0" xfId="0" applyBorder="1" applyFont="1"/>
    <xf borderId="5" fillId="0" fontId="2" numFmtId="0" xfId="0" applyBorder="1" applyFont="1"/>
    <xf borderId="0" fillId="0" fontId="4" numFmtId="0" xfId="0" applyAlignment="1" applyFont="1">
      <alignment horizontal="center" readingOrder="0" vertical="center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5" fillId="0" fontId="3" numFmtId="0" xfId="0" applyBorder="1" applyFont="1"/>
    <xf borderId="0" fillId="0" fontId="5" numFmtId="0" xfId="0" applyAlignment="1" applyFont="1">
      <alignment horizontal="center" readingOrder="0" vertical="top"/>
    </xf>
    <xf borderId="1" fillId="0" fontId="5" numFmtId="0" xfId="0" applyAlignment="1" applyBorder="1" applyFont="1">
      <alignment horizontal="center" readingOrder="0" vertical="top"/>
    </xf>
    <xf borderId="4" fillId="0" fontId="3" numFmtId="0" xfId="0" applyBorder="1" applyFont="1"/>
    <xf borderId="1" fillId="0" fontId="1" numFmtId="0" xfId="0" applyAlignment="1" applyBorder="1" applyFont="1">
      <alignment horizontal="center" readingOrder="0" vertical="top"/>
    </xf>
    <xf borderId="1" fillId="0" fontId="4" numFmtId="0" xfId="0" applyAlignment="1" applyBorder="1" applyFont="1">
      <alignment horizontal="left" readingOrder="0" vertical="top"/>
    </xf>
    <xf borderId="1" fillId="0" fontId="6" numFmtId="0" xfId="0" applyAlignment="1" applyBorder="1" applyFont="1">
      <alignment horizontal="center" readingOrder="0" vertical="center"/>
    </xf>
    <xf borderId="9" fillId="0" fontId="6" numFmtId="0" xfId="0" applyAlignment="1" applyBorder="1" applyFont="1">
      <alignment horizontal="center" readingOrder="0" vertical="center"/>
    </xf>
    <xf borderId="10" fillId="0" fontId="2" numFmtId="0" xfId="0" applyBorder="1" applyFont="1"/>
    <xf borderId="11" fillId="0" fontId="2" numFmtId="0" xfId="0" applyBorder="1" applyFont="1"/>
    <xf borderId="1" fillId="0" fontId="4" numFmtId="0" xfId="0" applyAlignment="1" applyBorder="1" applyFont="1">
      <alignment readingOrder="0" vertical="center"/>
    </xf>
    <xf borderId="9" fillId="0" fontId="7" numFmtId="0" xfId="0" applyAlignment="1" applyBorder="1" applyFont="1">
      <alignment horizontal="center" readingOrder="0" vertical="bottom"/>
    </xf>
    <xf borderId="0" fillId="0" fontId="4" numFmtId="164" xfId="0" applyAlignment="1" applyFont="1" applyNumberFormat="1">
      <alignment horizontal="center" vertical="center"/>
    </xf>
    <xf borderId="10" fillId="0" fontId="7" numFmtId="0" xfId="0" applyAlignment="1" applyBorder="1" applyFont="1">
      <alignment horizontal="center" vertical="bottom"/>
    </xf>
    <xf borderId="10" fillId="0" fontId="7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vertical="center"/>
    </xf>
    <xf borderId="2" fillId="0" fontId="4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 vertical="bottom"/>
    </xf>
    <xf borderId="1" fillId="0" fontId="3" numFmtId="0" xfId="0" applyBorder="1" applyFont="1"/>
    <xf borderId="9" fillId="0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center" readingOrder="0" vertical="center"/>
    </xf>
    <xf borderId="1" fillId="0" fontId="9" numFmtId="0" xfId="0" applyAlignment="1" applyBorder="1" applyFont="1">
      <alignment readingOrder="0" vertical="bottom"/>
    </xf>
    <xf borderId="4" fillId="0" fontId="9" numFmtId="0" xfId="0" applyAlignment="1" applyBorder="1" applyFont="1">
      <alignment vertical="top"/>
    </xf>
    <xf borderId="1" fillId="0" fontId="9" numFmtId="0" xfId="0" applyAlignment="1" applyBorder="1" applyFont="1">
      <alignment readingOrder="0" vertical="top"/>
    </xf>
    <xf borderId="2" fillId="0" fontId="10" numFmtId="0" xfId="0" applyAlignment="1" applyBorder="1" applyFont="1">
      <alignment horizontal="left" readingOrder="0" vertical="top"/>
    </xf>
    <xf borderId="4" fillId="0" fontId="9" numFmtId="0" xfId="0" applyAlignment="1" applyBorder="1" applyFont="1">
      <alignment readingOrder="0" vertical="top"/>
    </xf>
    <xf borderId="0" fillId="0" fontId="9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2">
      <c r="B2" s="1" t="s">
        <v>0</v>
      </c>
      <c r="C2" s="2"/>
      <c r="D2" s="2"/>
      <c r="E2" s="3"/>
      <c r="F2" s="4"/>
      <c r="G2" s="5"/>
      <c r="H2" s="6" t="s">
        <v>1</v>
      </c>
      <c r="I2" s="2"/>
      <c r="J2" s="2"/>
      <c r="K2" s="3"/>
    </row>
    <row r="3">
      <c r="B3" s="7"/>
      <c r="E3" s="8"/>
      <c r="G3" s="9"/>
      <c r="H3" s="7"/>
      <c r="K3" s="8"/>
    </row>
    <row r="4">
      <c r="B4" s="7"/>
      <c r="E4" s="8"/>
      <c r="G4" s="9"/>
      <c r="H4" s="7"/>
      <c r="K4" s="8"/>
    </row>
    <row r="5">
      <c r="B5" s="7"/>
      <c r="E5" s="8"/>
      <c r="G5" s="9"/>
      <c r="H5" s="10"/>
      <c r="I5" s="11"/>
      <c r="J5" s="11"/>
      <c r="K5" s="12"/>
    </row>
    <row r="6">
      <c r="B6" s="7"/>
      <c r="E6" s="8"/>
      <c r="K6" s="13"/>
    </row>
    <row r="7">
      <c r="B7" s="7"/>
      <c r="E7" s="8"/>
      <c r="G7" s="14"/>
      <c r="H7" s="15" t="s">
        <v>2</v>
      </c>
      <c r="I7" s="2"/>
      <c r="J7" s="2"/>
      <c r="K7" s="3"/>
    </row>
    <row r="8">
      <c r="B8" s="7"/>
      <c r="E8" s="8"/>
      <c r="G8" s="14"/>
      <c r="H8" s="7"/>
      <c r="K8" s="8"/>
    </row>
    <row r="9">
      <c r="B9" s="10"/>
      <c r="C9" s="11"/>
      <c r="D9" s="11"/>
      <c r="E9" s="12"/>
      <c r="G9" s="14"/>
      <c r="H9" s="7"/>
      <c r="K9" s="8"/>
    </row>
    <row r="10">
      <c r="B10" s="16"/>
      <c r="G10" s="14"/>
      <c r="H10" s="7"/>
      <c r="K10" s="8"/>
    </row>
    <row r="11">
      <c r="B11" s="17" t="s">
        <v>3</v>
      </c>
      <c r="C11" s="2"/>
      <c r="D11" s="2"/>
      <c r="E11" s="3"/>
      <c r="G11" s="14"/>
      <c r="H11" s="7"/>
      <c r="K11" s="8"/>
    </row>
    <row r="12">
      <c r="B12" s="7"/>
      <c r="E12" s="8"/>
      <c r="G12" s="14"/>
      <c r="H12" s="7"/>
      <c r="K12" s="8"/>
    </row>
    <row r="13">
      <c r="B13" s="7"/>
      <c r="E13" s="8"/>
      <c r="G13" s="14"/>
      <c r="H13" s="7"/>
      <c r="K13" s="8"/>
    </row>
    <row r="14">
      <c r="B14" s="10"/>
      <c r="C14" s="11"/>
      <c r="D14" s="11"/>
      <c r="E14" s="12"/>
      <c r="G14" s="14"/>
      <c r="H14" s="10"/>
      <c r="I14" s="11"/>
      <c r="J14" s="11"/>
      <c r="K14" s="12"/>
    </row>
    <row r="15">
      <c r="B15" s="18" t="s">
        <v>4</v>
      </c>
      <c r="C15" s="2"/>
      <c r="D15" s="2"/>
      <c r="E15" s="2"/>
      <c r="F15" s="2"/>
      <c r="G15" s="2"/>
      <c r="H15" s="2"/>
      <c r="I15" s="2"/>
      <c r="J15" s="2"/>
      <c r="K15" s="3"/>
    </row>
    <row r="16">
      <c r="B16" s="7"/>
      <c r="K16" s="8"/>
    </row>
    <row r="17">
      <c r="B17" s="7"/>
      <c r="K17" s="8"/>
    </row>
    <row r="18">
      <c r="B18" s="7"/>
      <c r="K18" s="8"/>
    </row>
    <row r="19">
      <c r="B19" s="10"/>
      <c r="C19" s="11"/>
      <c r="D19" s="11"/>
      <c r="E19" s="11"/>
      <c r="F19" s="11"/>
      <c r="G19" s="11"/>
      <c r="H19" s="11"/>
      <c r="I19" s="11"/>
      <c r="J19" s="11"/>
      <c r="K19" s="12"/>
    </row>
    <row r="20">
      <c r="B20" s="19" t="s">
        <v>5</v>
      </c>
      <c r="C20" s="2"/>
      <c r="D20" s="2"/>
      <c r="E20" s="2"/>
      <c r="F20" s="3"/>
      <c r="G20" s="20" t="s">
        <v>6</v>
      </c>
      <c r="H20" s="19" t="s">
        <v>7</v>
      </c>
      <c r="I20" s="3"/>
      <c r="J20" s="19" t="s">
        <v>8</v>
      </c>
      <c r="K20" s="3"/>
    </row>
    <row r="21">
      <c r="B21" s="7"/>
      <c r="F21" s="8"/>
      <c r="G21" s="21"/>
      <c r="H21" s="7"/>
      <c r="I21" s="8"/>
      <c r="J21" s="7"/>
      <c r="K21" s="8"/>
    </row>
    <row r="22">
      <c r="B22" s="10"/>
      <c r="C22" s="11"/>
      <c r="D22" s="11"/>
      <c r="E22" s="11"/>
      <c r="F22" s="12"/>
      <c r="G22" s="22"/>
      <c r="H22" s="10"/>
      <c r="I22" s="12"/>
      <c r="J22" s="10"/>
      <c r="K22" s="12"/>
    </row>
    <row r="23">
      <c r="B23" s="23" t="s">
        <v>9</v>
      </c>
      <c r="C23" s="2"/>
      <c r="D23" s="2"/>
      <c r="E23" s="2"/>
      <c r="F23" s="3"/>
      <c r="G23" s="24">
        <v>64.0</v>
      </c>
      <c r="H23" s="6" t="s">
        <v>10</v>
      </c>
      <c r="I23" s="3"/>
      <c r="J23" s="6">
        <f>G23*6</f>
        <v>384</v>
      </c>
      <c r="K23" s="3"/>
      <c r="L23" s="25"/>
      <c r="M23" s="25"/>
    </row>
    <row r="24">
      <c r="B24" s="10"/>
      <c r="C24" s="11"/>
      <c r="D24" s="11"/>
      <c r="E24" s="11"/>
      <c r="F24" s="12"/>
      <c r="G24" s="22"/>
      <c r="H24" s="10"/>
      <c r="I24" s="12"/>
      <c r="J24" s="10"/>
      <c r="K24" s="12"/>
      <c r="L24" s="25"/>
      <c r="M24" s="25"/>
    </row>
    <row r="25">
      <c r="B25" s="23" t="s">
        <v>11</v>
      </c>
      <c r="C25" s="2"/>
      <c r="D25" s="2"/>
      <c r="E25" s="2"/>
      <c r="F25" s="3"/>
      <c r="G25" s="26">
        <v>64.0</v>
      </c>
      <c r="H25" s="6" t="s">
        <v>10</v>
      </c>
      <c r="I25" s="3"/>
      <c r="J25" s="6">
        <f>G25*6</f>
        <v>384</v>
      </c>
      <c r="K25" s="3"/>
      <c r="L25" s="25"/>
      <c r="M25" s="25"/>
    </row>
    <row r="26">
      <c r="B26" s="10"/>
      <c r="C26" s="11"/>
      <c r="D26" s="11"/>
      <c r="E26" s="11"/>
      <c r="F26" s="12"/>
      <c r="G26" s="22"/>
      <c r="H26" s="10"/>
      <c r="I26" s="12"/>
      <c r="J26" s="10"/>
      <c r="K26" s="12"/>
      <c r="L26" s="25"/>
      <c r="M26" s="25"/>
    </row>
    <row r="27">
      <c r="B27" s="23" t="s">
        <v>12</v>
      </c>
      <c r="C27" s="2"/>
      <c r="D27" s="2"/>
      <c r="E27" s="2"/>
      <c r="F27" s="3"/>
      <c r="G27" s="26">
        <v>64.0</v>
      </c>
      <c r="H27" s="6" t="s">
        <v>10</v>
      </c>
      <c r="I27" s="3"/>
      <c r="J27" s="6">
        <f>G27*6</f>
        <v>384</v>
      </c>
      <c r="K27" s="3"/>
      <c r="L27" s="25"/>
      <c r="M27" s="25"/>
    </row>
    <row r="28">
      <c r="B28" s="10"/>
      <c r="C28" s="11"/>
      <c r="D28" s="11"/>
      <c r="E28" s="11"/>
      <c r="F28" s="12"/>
      <c r="G28" s="22"/>
      <c r="H28" s="10"/>
      <c r="I28" s="12"/>
      <c r="J28" s="10"/>
      <c r="K28" s="12"/>
      <c r="L28" s="25"/>
      <c r="M28" s="25"/>
    </row>
    <row r="29">
      <c r="B29" s="23" t="s">
        <v>13</v>
      </c>
      <c r="C29" s="2"/>
      <c r="D29" s="2"/>
      <c r="E29" s="2"/>
      <c r="F29" s="3"/>
      <c r="G29" s="27">
        <v>64.0</v>
      </c>
      <c r="H29" s="6" t="s">
        <v>10</v>
      </c>
      <c r="I29" s="3"/>
      <c r="J29" s="6">
        <f>G29*6</f>
        <v>384</v>
      </c>
      <c r="K29" s="3"/>
      <c r="L29" s="25"/>
      <c r="M29" s="25"/>
    </row>
    <row r="30">
      <c r="B30" s="10"/>
      <c r="C30" s="11"/>
      <c r="D30" s="11"/>
      <c r="E30" s="11"/>
      <c r="F30" s="12"/>
      <c r="G30" s="22"/>
      <c r="H30" s="10"/>
      <c r="I30" s="12"/>
      <c r="J30" s="10"/>
      <c r="K30" s="12"/>
      <c r="L30" s="25"/>
      <c r="M30" s="25"/>
    </row>
    <row r="31">
      <c r="B31" s="28" t="s">
        <v>14</v>
      </c>
      <c r="C31" s="2"/>
      <c r="D31" s="2"/>
      <c r="E31" s="2"/>
      <c r="F31" s="3"/>
      <c r="G31" s="27">
        <v>64.0</v>
      </c>
      <c r="H31" s="29" t="s">
        <v>10</v>
      </c>
      <c r="I31" s="3"/>
      <c r="J31" s="6">
        <f>G31*6</f>
        <v>384</v>
      </c>
      <c r="K31" s="3"/>
      <c r="L31" s="25"/>
      <c r="M31" s="25"/>
    </row>
    <row r="32">
      <c r="B32" s="10"/>
      <c r="C32" s="11"/>
      <c r="D32" s="11"/>
      <c r="E32" s="11"/>
      <c r="F32" s="12"/>
      <c r="G32" s="22"/>
      <c r="H32" s="11"/>
      <c r="I32" s="12"/>
      <c r="J32" s="10"/>
      <c r="K32" s="12"/>
      <c r="L32" s="25"/>
      <c r="M32" s="25"/>
    </row>
    <row r="33">
      <c r="B33" s="28" t="s">
        <v>15</v>
      </c>
      <c r="C33" s="2"/>
      <c r="D33" s="2"/>
      <c r="E33" s="2"/>
      <c r="F33" s="3"/>
      <c r="G33" s="27">
        <v>64.0</v>
      </c>
      <c r="H33" s="29" t="s">
        <v>10</v>
      </c>
      <c r="I33" s="3"/>
      <c r="J33" s="6">
        <f>G33*6</f>
        <v>384</v>
      </c>
      <c r="K33" s="3"/>
      <c r="L33" s="25"/>
      <c r="M33" s="25"/>
    </row>
    <row r="34">
      <c r="B34" s="10"/>
      <c r="C34" s="11"/>
      <c r="D34" s="11"/>
      <c r="E34" s="11"/>
      <c r="F34" s="12"/>
      <c r="G34" s="22"/>
      <c r="H34" s="11"/>
      <c r="I34" s="12"/>
      <c r="J34" s="10"/>
      <c r="K34" s="12"/>
      <c r="L34" s="25"/>
      <c r="M34" s="25"/>
    </row>
    <row r="35">
      <c r="B35" s="28" t="s">
        <v>16</v>
      </c>
      <c r="C35" s="2"/>
      <c r="D35" s="2"/>
      <c r="E35" s="2"/>
      <c r="F35" s="3"/>
      <c r="G35" s="27">
        <v>0.0</v>
      </c>
      <c r="H35" s="29" t="s">
        <v>10</v>
      </c>
      <c r="I35" s="3"/>
      <c r="J35" s="6">
        <f>G35*6</f>
        <v>0</v>
      </c>
      <c r="K35" s="3"/>
      <c r="L35" s="25"/>
      <c r="M35" s="25"/>
    </row>
    <row r="36">
      <c r="B36" s="10"/>
      <c r="C36" s="11"/>
      <c r="D36" s="11"/>
      <c r="E36" s="11"/>
      <c r="F36" s="12"/>
      <c r="G36" s="22"/>
      <c r="H36" s="11"/>
      <c r="I36" s="12"/>
      <c r="J36" s="10"/>
      <c r="K36" s="12"/>
      <c r="L36" s="25"/>
      <c r="M36" s="25"/>
    </row>
    <row r="37">
      <c r="B37" s="28" t="s">
        <v>17</v>
      </c>
      <c r="C37" s="2"/>
      <c r="D37" s="2"/>
      <c r="E37" s="2"/>
      <c r="F37" s="3"/>
      <c r="G37" s="27">
        <v>10.0</v>
      </c>
      <c r="H37" s="29" t="s">
        <v>10</v>
      </c>
      <c r="I37" s="3"/>
      <c r="J37" s="5">
        <f>G37*12</f>
        <v>120</v>
      </c>
      <c r="K37" s="3"/>
      <c r="L37" s="25"/>
      <c r="M37" s="25"/>
    </row>
    <row r="38">
      <c r="B38" s="10"/>
      <c r="C38" s="11"/>
      <c r="D38" s="11"/>
      <c r="E38" s="11"/>
      <c r="F38" s="12"/>
      <c r="G38" s="22"/>
      <c r="H38" s="11"/>
      <c r="I38" s="12"/>
      <c r="J38" s="11"/>
      <c r="K38" s="12"/>
      <c r="L38" s="25"/>
      <c r="M38" s="25"/>
    </row>
    <row r="39">
      <c r="B39" s="28" t="s">
        <v>18</v>
      </c>
      <c r="C39" s="2"/>
      <c r="D39" s="2"/>
      <c r="E39" s="2"/>
      <c r="F39" s="3"/>
      <c r="G39" s="27">
        <v>0.0</v>
      </c>
      <c r="H39" s="29" t="s">
        <v>10</v>
      </c>
      <c r="I39" s="3"/>
      <c r="J39" s="5">
        <f>G39*12</f>
        <v>0</v>
      </c>
      <c r="K39" s="3"/>
      <c r="L39" s="25"/>
      <c r="M39" s="25"/>
    </row>
    <row r="40">
      <c r="B40" s="10"/>
      <c r="C40" s="11"/>
      <c r="D40" s="11"/>
      <c r="E40" s="11"/>
      <c r="F40" s="12"/>
      <c r="G40" s="22"/>
      <c r="H40" s="11"/>
      <c r="I40" s="12"/>
      <c r="J40" s="11"/>
      <c r="K40" s="12"/>
      <c r="L40" s="25"/>
      <c r="M40" s="25"/>
    </row>
    <row r="41">
      <c r="B41" s="28" t="s">
        <v>19</v>
      </c>
      <c r="C41" s="2"/>
      <c r="D41" s="2"/>
      <c r="E41" s="2"/>
      <c r="F41" s="3"/>
      <c r="G41" s="27">
        <v>5.0</v>
      </c>
      <c r="H41" s="29" t="s">
        <v>10</v>
      </c>
      <c r="I41" s="3"/>
      <c r="J41" s="5">
        <f>G41*12</f>
        <v>60</v>
      </c>
      <c r="K41" s="3"/>
      <c r="L41" s="25"/>
      <c r="M41" s="25"/>
    </row>
    <row r="42">
      <c r="B42" s="10"/>
      <c r="C42" s="11"/>
      <c r="D42" s="11"/>
      <c r="E42" s="11"/>
      <c r="F42" s="12"/>
      <c r="G42" s="22"/>
      <c r="H42" s="11"/>
      <c r="I42" s="12"/>
      <c r="J42" s="11"/>
      <c r="K42" s="12"/>
      <c r="L42" s="25"/>
      <c r="M42" s="25"/>
    </row>
    <row r="43">
      <c r="B43" s="23" t="s">
        <v>20</v>
      </c>
      <c r="C43" s="2"/>
      <c r="D43" s="2"/>
      <c r="E43" s="2"/>
      <c r="F43" s="3"/>
      <c r="G43" s="27">
        <v>7.0</v>
      </c>
      <c r="H43" s="29" t="s">
        <v>10</v>
      </c>
      <c r="I43" s="3"/>
      <c r="J43" s="6">
        <f>G43*16</f>
        <v>112</v>
      </c>
      <c r="K43" s="3"/>
    </row>
    <row r="44">
      <c r="B44" s="10"/>
      <c r="C44" s="11"/>
      <c r="D44" s="11"/>
      <c r="E44" s="11"/>
      <c r="F44" s="12"/>
      <c r="G44" s="22"/>
      <c r="H44" s="11"/>
      <c r="I44" s="12"/>
      <c r="J44" s="10"/>
      <c r="K44" s="12"/>
    </row>
    <row r="45">
      <c r="B45" s="23" t="s">
        <v>21</v>
      </c>
      <c r="C45" s="2"/>
      <c r="D45" s="2"/>
      <c r="E45" s="2"/>
      <c r="F45" s="3"/>
      <c r="G45" s="27">
        <v>2.0</v>
      </c>
      <c r="H45" s="29" t="s">
        <v>10</v>
      </c>
      <c r="I45" s="3"/>
      <c r="J45" s="6">
        <f>G45*16</f>
        <v>32</v>
      </c>
      <c r="K45" s="3"/>
    </row>
    <row r="46">
      <c r="B46" s="10"/>
      <c r="C46" s="11"/>
      <c r="D46" s="11"/>
      <c r="E46" s="11"/>
      <c r="F46" s="12"/>
      <c r="G46" s="22"/>
      <c r="H46" s="11"/>
      <c r="I46" s="12"/>
      <c r="J46" s="10"/>
      <c r="K46" s="12"/>
    </row>
    <row r="47">
      <c r="B47" s="23" t="s">
        <v>22</v>
      </c>
      <c r="C47" s="2"/>
      <c r="D47" s="2"/>
      <c r="E47" s="2"/>
      <c r="F47" s="3"/>
      <c r="G47" s="27">
        <v>15.0</v>
      </c>
      <c r="H47" s="29" t="s">
        <v>10</v>
      </c>
      <c r="I47" s="3"/>
      <c r="J47" s="6">
        <f>G47*16</f>
        <v>240</v>
      </c>
      <c r="K47" s="3"/>
    </row>
    <row r="48">
      <c r="B48" s="10"/>
      <c r="C48" s="11"/>
      <c r="D48" s="11"/>
      <c r="E48" s="11"/>
      <c r="F48" s="12"/>
      <c r="G48" s="22"/>
      <c r="H48" s="11"/>
      <c r="I48" s="12"/>
      <c r="J48" s="10"/>
      <c r="K48" s="12"/>
    </row>
    <row r="49">
      <c r="B49" s="23"/>
      <c r="C49" s="2"/>
      <c r="D49" s="2"/>
      <c r="E49" s="2"/>
      <c r="F49" s="3"/>
      <c r="G49" s="30">
        <f>SUM(G23:G48)</f>
        <v>423</v>
      </c>
      <c r="J49" s="31"/>
      <c r="K49" s="3"/>
    </row>
    <row r="50">
      <c r="B50" s="10"/>
      <c r="C50" s="11"/>
      <c r="D50" s="11"/>
      <c r="E50" s="11"/>
      <c r="F50" s="12"/>
      <c r="G50" s="22"/>
      <c r="J50" s="10"/>
      <c r="K50" s="12"/>
    </row>
    <row r="51">
      <c r="B51" s="23" t="s">
        <v>23</v>
      </c>
      <c r="C51" s="2"/>
      <c r="D51" s="2"/>
      <c r="E51" s="2"/>
      <c r="F51" s="3"/>
      <c r="G51" s="32" t="s">
        <v>24</v>
      </c>
      <c r="H51" s="33" t="s">
        <v>10</v>
      </c>
      <c r="I51" s="3"/>
      <c r="J51" s="34">
        <v>0.0</v>
      </c>
      <c r="K51" s="3"/>
    </row>
    <row r="52">
      <c r="B52" s="10"/>
      <c r="C52" s="11"/>
      <c r="D52" s="11"/>
      <c r="E52" s="11"/>
      <c r="F52" s="12"/>
      <c r="G52" s="22"/>
      <c r="H52" s="10"/>
      <c r="I52" s="12"/>
      <c r="J52" s="10"/>
      <c r="K52" s="12"/>
    </row>
    <row r="53">
      <c r="B53" s="35"/>
      <c r="G53" s="36"/>
      <c r="H53" s="9"/>
      <c r="J53" s="9"/>
    </row>
    <row r="54">
      <c r="B54" s="35"/>
      <c r="G54" s="36"/>
      <c r="H54" s="9"/>
      <c r="J54" s="9"/>
    </row>
    <row r="55">
      <c r="B55" s="37" t="s">
        <v>25</v>
      </c>
      <c r="C55" s="2"/>
      <c r="D55" s="2"/>
      <c r="E55" s="3"/>
      <c r="F55" s="37" t="s">
        <v>26</v>
      </c>
      <c r="G55" s="3"/>
    </row>
    <row r="56">
      <c r="B56" s="7"/>
      <c r="E56" s="8"/>
      <c r="F56" s="7"/>
      <c r="G56" s="8"/>
    </row>
    <row r="57">
      <c r="B57" s="7"/>
      <c r="E57" s="8"/>
      <c r="F57" s="7"/>
      <c r="G57" s="8"/>
    </row>
    <row r="58">
      <c r="B58" s="10"/>
      <c r="C58" s="11"/>
      <c r="D58" s="11"/>
      <c r="E58" s="12"/>
      <c r="F58" s="10"/>
      <c r="G58" s="12"/>
    </row>
    <row r="59">
      <c r="B59" s="38" t="s">
        <v>27</v>
      </c>
      <c r="E59" s="8"/>
      <c r="F59" s="39" t="s">
        <v>28</v>
      </c>
      <c r="G59" s="40">
        <f>G49</f>
        <v>423</v>
      </c>
      <c r="H59" s="3"/>
    </row>
    <row r="60">
      <c r="B60" s="7"/>
      <c r="E60" s="8"/>
      <c r="F60" s="41"/>
      <c r="H60" s="8"/>
    </row>
    <row r="61">
      <c r="B61" s="7"/>
      <c r="E61" s="8"/>
      <c r="F61" s="10"/>
      <c r="G61" s="11"/>
      <c r="H61" s="12"/>
    </row>
    <row r="62">
      <c r="B62" s="7"/>
      <c r="E62" s="8"/>
      <c r="F62" s="42" t="s">
        <v>29</v>
      </c>
      <c r="H62" s="8"/>
    </row>
    <row r="63">
      <c r="B63" s="7"/>
      <c r="E63" s="8"/>
      <c r="H63" s="8"/>
    </row>
    <row r="64">
      <c r="B64" s="10"/>
      <c r="C64" s="11"/>
      <c r="D64" s="11"/>
      <c r="E64" s="12"/>
      <c r="F64" s="11"/>
      <c r="G64" s="11"/>
      <c r="H64" s="12"/>
    </row>
    <row r="65">
      <c r="B65" s="38" t="s">
        <v>30</v>
      </c>
      <c r="H65" s="8"/>
    </row>
    <row r="66">
      <c r="B66" s="7"/>
      <c r="H66" s="8"/>
    </row>
    <row r="67">
      <c r="B67" s="10"/>
      <c r="C67" s="11"/>
      <c r="D67" s="11"/>
      <c r="E67" s="11"/>
      <c r="F67" s="11"/>
      <c r="G67" s="11"/>
      <c r="H67" s="12"/>
    </row>
    <row r="68">
      <c r="B68" s="38" t="s">
        <v>31</v>
      </c>
      <c r="H68" s="8"/>
    </row>
    <row r="69">
      <c r="B69" s="10"/>
      <c r="C69" s="11"/>
      <c r="D69" s="11"/>
      <c r="E69" s="11"/>
      <c r="F69" s="11"/>
      <c r="G69" s="11"/>
      <c r="H69" s="12"/>
    </row>
    <row r="70">
      <c r="B70" s="38" t="s">
        <v>32</v>
      </c>
      <c r="H70" s="8"/>
    </row>
    <row r="71">
      <c r="B71" s="10"/>
      <c r="C71" s="11"/>
      <c r="D71" s="11"/>
      <c r="E71" s="11"/>
      <c r="F71" s="11"/>
      <c r="G71" s="11"/>
      <c r="H71" s="12"/>
    </row>
    <row r="72">
      <c r="B72" s="38" t="s">
        <v>33</v>
      </c>
      <c r="H72" s="8"/>
    </row>
    <row r="73">
      <c r="B73" s="10"/>
      <c r="C73" s="11"/>
      <c r="D73" s="11"/>
      <c r="E73" s="11"/>
      <c r="F73" s="11"/>
      <c r="G73" s="11"/>
      <c r="H73" s="12"/>
    </row>
  </sheetData>
  <mergeCells count="85">
    <mergeCell ref="B31:F32"/>
    <mergeCell ref="G31:G32"/>
    <mergeCell ref="H31:I32"/>
    <mergeCell ref="J31:K32"/>
    <mergeCell ref="G33:G34"/>
    <mergeCell ref="H33:I34"/>
    <mergeCell ref="J33:K34"/>
    <mergeCell ref="B33:F34"/>
    <mergeCell ref="B35:F36"/>
    <mergeCell ref="G35:G36"/>
    <mergeCell ref="H35:I36"/>
    <mergeCell ref="J35:K36"/>
    <mergeCell ref="B37:F38"/>
    <mergeCell ref="G37:G38"/>
    <mergeCell ref="B39:F40"/>
    <mergeCell ref="G39:G40"/>
    <mergeCell ref="H39:I40"/>
    <mergeCell ref="J39:K40"/>
    <mergeCell ref="G41:G42"/>
    <mergeCell ref="H41:I42"/>
    <mergeCell ref="J41:K42"/>
    <mergeCell ref="B41:F42"/>
    <mergeCell ref="B43:F44"/>
    <mergeCell ref="G43:G44"/>
    <mergeCell ref="H43:I44"/>
    <mergeCell ref="J43:K44"/>
    <mergeCell ref="B45:F46"/>
    <mergeCell ref="G45:G46"/>
    <mergeCell ref="G49:G50"/>
    <mergeCell ref="H49:I50"/>
    <mergeCell ref="H45:I46"/>
    <mergeCell ref="J45:K46"/>
    <mergeCell ref="B47:F48"/>
    <mergeCell ref="G47:G48"/>
    <mergeCell ref="H47:I48"/>
    <mergeCell ref="J47:K48"/>
    <mergeCell ref="J49:K50"/>
    <mergeCell ref="B49:F50"/>
    <mergeCell ref="B51:F52"/>
    <mergeCell ref="G51:G52"/>
    <mergeCell ref="H51:I52"/>
    <mergeCell ref="J51:K52"/>
    <mergeCell ref="H53:I53"/>
    <mergeCell ref="J53:K53"/>
    <mergeCell ref="F62:H64"/>
    <mergeCell ref="B65:H67"/>
    <mergeCell ref="B68:H69"/>
    <mergeCell ref="B70:H71"/>
    <mergeCell ref="B72:H73"/>
    <mergeCell ref="B53:F53"/>
    <mergeCell ref="B54:F54"/>
    <mergeCell ref="H54:I54"/>
    <mergeCell ref="J54:K54"/>
    <mergeCell ref="B55:E58"/>
    <mergeCell ref="F55:G58"/>
    <mergeCell ref="B59:E64"/>
    <mergeCell ref="H20:I22"/>
    <mergeCell ref="J20:K22"/>
    <mergeCell ref="B2:E9"/>
    <mergeCell ref="H2:K5"/>
    <mergeCell ref="H7:K14"/>
    <mergeCell ref="B11:E14"/>
    <mergeCell ref="B15:K19"/>
    <mergeCell ref="B20:F22"/>
    <mergeCell ref="G20:G22"/>
    <mergeCell ref="B23:F24"/>
    <mergeCell ref="G23:G24"/>
    <mergeCell ref="H23:I24"/>
    <mergeCell ref="J23:K24"/>
    <mergeCell ref="G25:G26"/>
    <mergeCell ref="H25:I26"/>
    <mergeCell ref="J25:K26"/>
    <mergeCell ref="H29:I30"/>
    <mergeCell ref="J29:K30"/>
    <mergeCell ref="B25:F26"/>
    <mergeCell ref="B27:F28"/>
    <mergeCell ref="G27:G28"/>
    <mergeCell ref="H27:I28"/>
    <mergeCell ref="J27:K28"/>
    <mergeCell ref="B29:F30"/>
    <mergeCell ref="G29:G30"/>
    <mergeCell ref="H37:I38"/>
    <mergeCell ref="J37:K38"/>
    <mergeCell ref="G59:H59"/>
    <mergeCell ref="F60:H61"/>
  </mergeCells>
  <printOptions horizontalCentered="1"/>
  <pageMargins bottom="0.75" footer="0.0" header="0.0" left="0.25" right="0.25" top="0.75"/>
  <pageSetup fitToWidth="0" paperSize="9" cellComments="atEnd" orientation="portrait" pageOrder="overThenDown"/>
  <drawing r:id="rId1"/>
</worksheet>
</file>