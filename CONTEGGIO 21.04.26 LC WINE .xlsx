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<sst xmlns="http://schemas.openxmlformats.org/spreadsheetml/2006/main" count="44" uniqueCount="31">
  <si>
    <r>
      <rPr>
        <rFont val="Arial"/>
        <b/>
        <color theme="1"/>
        <sz val="14.0"/>
      </rPr>
      <t>MITTENTE:</t>
    </r>
    <r>
      <rPr>
        <rFont val="Arial"/>
        <b val="0"/>
        <color theme="1"/>
        <sz val="14.0"/>
      </rPr>
      <t xml:space="preserve"> LC WINE SERVICE SRLS
SEDE OPERATIVA: SP39 KM 0,800
90047 PARTINICO (PA)
P.IVA 06798780828</t>
    </r>
  </si>
  <si>
    <r>
      <rPr>
        <rFont val="Arial"/>
        <b/>
        <color theme="1"/>
        <sz val="14.0"/>
      </rPr>
      <t xml:space="preserve">DOCUMENTO DI TRASPORTO
</t>
    </r>
    <r>
      <rPr>
        <rFont val="Arial"/>
        <b val="0"/>
        <color theme="1"/>
        <sz val="14.0"/>
      </rPr>
      <t>N. 40/2026  DEL 21/04/2026</t>
    </r>
    <r>
      <rPr>
        <rFont val="Arial"/>
        <b/>
        <color theme="1"/>
        <sz val="14.0"/>
      </rPr>
      <t xml:space="preserve">
</t>
    </r>
  </si>
  <si>
    <r>
      <rPr>
        <rFont val="Arial"/>
        <b/>
        <color theme="1"/>
        <sz val="17.0"/>
      </rPr>
      <t xml:space="preserve">DESTINATARIO: 
</t>
    </r>
    <r>
      <rPr>
        <rFont val="Arial"/>
        <b val="0"/>
        <color theme="1"/>
        <sz val="17.0"/>
      </rPr>
      <t xml:space="preserve">SOCIETA' CORRADO
SOC. AGR. SEMPL
VIA BERNARDINO VERRO, 5  
90035 MARINEO (PA)
P.IVA 07203040824
</t>
    </r>
  </si>
  <si>
    <r>
      <rPr>
        <rFont val="Arial"/>
        <b/>
        <color theme="1"/>
        <sz val="14.0"/>
      </rPr>
      <t xml:space="preserve">CAUSALE DEL TRASPORTO:
</t>
    </r>
    <r>
      <rPr>
        <rFont val="Arial"/>
        <b val="0"/>
        <color theme="1"/>
        <sz val="14.0"/>
      </rPr>
      <t xml:space="preserve">RESO CONTO LAVORAZIONE
(SEGUE FATTURA)     </t>
    </r>
    <r>
      <rPr>
        <rFont val="Arial"/>
        <b/>
        <color theme="1"/>
        <sz val="14.0"/>
      </rPr>
      <t xml:space="preserve">   
</t>
    </r>
  </si>
  <si>
    <r>
      <rPr>
        <rFont val="Arial"/>
        <b/>
        <color theme="1"/>
        <sz val="14.0"/>
      </rPr>
      <t xml:space="preserve">LUOGO DI DESTINAZIONE:  
</t>
    </r>
    <r>
      <rPr>
        <rFont val="Arial"/>
        <b val="0"/>
        <color theme="1"/>
        <sz val="14.0"/>
      </rPr>
      <t>LO STESSO</t>
    </r>
    <r>
      <rPr>
        <rFont val="Arial"/>
        <b/>
        <color theme="1"/>
        <sz val="14.0"/>
      </rPr>
      <t xml:space="preserve">
</t>
    </r>
  </si>
  <si>
    <t>DESCRIZIONE PRODOTTO</t>
  </si>
  <si>
    <t>PET VINO CATARRATTO LITRI 2</t>
  </si>
  <si>
    <t>BT</t>
  </si>
  <si>
    <t>PET VINO ROSATO LITRI 2</t>
  </si>
  <si>
    <t>PET VINO MERLOT LITRI 2</t>
  </si>
  <si>
    <t>PET VINO IL NERO LITRI 2</t>
  </si>
  <si>
    <t>PET VINO BIANCO E.N. LITRI 2</t>
  </si>
  <si>
    <t>PET VINO ROSATO E.N. LITRI 2</t>
  </si>
  <si>
    <t>PET VINO ROSSO E. N. LITRI 2</t>
  </si>
  <si>
    <t>PET VINO CATARRATTO LITRI 1</t>
  </si>
  <si>
    <t>PET VINO ROSATO LITRI 1</t>
  </si>
  <si>
    <t>PET VINO MERLOT LITRI 1</t>
  </si>
  <si>
    <t>PET VINO BIANCO S.E. LITRI 1</t>
  </si>
  <si>
    <t>PET VINO ROSATO S.E. LITRI 1</t>
  </si>
  <si>
    <t>PET VINO ROSSO S.E. LITRI 1</t>
  </si>
  <si>
    <t>BOTTIGLIA PET VUOTA 2LT</t>
  </si>
  <si>
    <t>x</t>
  </si>
  <si>
    <r>
      <rPr>
        <rFont val="Arial"/>
        <b/>
        <color theme="1"/>
      </rPr>
      <t xml:space="preserve">TRASPORTO A MEZZO:
</t>
    </r>
    <r>
      <rPr>
        <rFont val="Arial"/>
        <b val="0"/>
        <color theme="1"/>
      </rPr>
      <t xml:space="preserve">   X MITTENTE           □VETTORE        □ DESTINATARIO</t>
    </r>
    <r>
      <rPr>
        <rFont val="Arial"/>
        <b/>
        <color theme="1"/>
      </rPr>
      <t xml:space="preserve"> 
</t>
    </r>
  </si>
  <si>
    <r>
      <rPr>
        <rFont val="Arial"/>
        <b/>
        <color theme="1"/>
      </rPr>
      <t xml:space="preserve">DATA RITIRO
</t>
    </r>
    <r>
      <rPr>
        <rFont val="Arial"/>
        <b val="0"/>
        <color theme="1"/>
      </rPr>
      <t xml:space="preserve">21/04/2026 </t>
    </r>
    <r>
      <rPr>
        <rFont val="Arial"/>
        <b/>
        <color theme="1"/>
      </rPr>
      <t xml:space="preserve">
</t>
    </r>
  </si>
  <si>
    <t>VETTORE:</t>
  </si>
  <si>
    <r>
      <rPr>
        <rFont val="Arial"/>
        <b/>
        <color theme="1"/>
      </rPr>
      <t xml:space="preserve">N. COLLI: </t>
    </r>
    <r>
      <rPr>
        <rFont val="Arial"/>
        <b val="0"/>
        <color theme="1"/>
      </rPr>
      <t xml:space="preserve">
</t>
    </r>
  </si>
  <si>
    <t>PESO:</t>
  </si>
  <si>
    <t xml:space="preserve">NOTE: </t>
  </si>
  <si>
    <t>FIRMA MITTENTE:</t>
  </si>
  <si>
    <t>FIRMA VETTORE:</t>
  </si>
  <si>
    <t>FIRMA DESTINATARIO: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</si>
</sst>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€-2]\ #,##0"/>
  </numFmts>
  <fonts count="16">
    <font>
      <sz val="10.0"/>
      <color rgb="FF000000"/>
      <name val="Arial"/>
      <scheme val="minor"/>
    </font>
    <font>
      <b/>
      <sz val="14.0"/>
      <color theme="1"/>
      <name val="Arial"/>
    </font>
    <font/>
    <font>
      <color theme="1"/>
      <name val="Arial"/>
    </font>
    <font>
      <b/>
      <sz val="17.0"/>
      <color theme="1"/>
      <name val="Arial"/>
    </font>
    <font>
      <sz val="14.0"/>
      <color theme="1"/>
      <name val="Arial"/>
    </font>
    <font>
      <color theme="1"/>
      <name val="Arial"/>
      <scheme val="minor"/>
    </font>
    <font>
      <sz val="14.0"/>
      <color theme="1"/>
      <name val="Arial"/>
      <scheme val="minor"/>
    </font>
    <font>
      <sz val="17.0"/>
      <color theme="1"/>
      <name val="Arial"/>
    </font>
    <font>
      <sz val="16.0"/>
      <color theme="1"/>
      <name val="Arial"/>
    </font>
    <font>
      <sz val="15.0"/>
      <color theme="1"/>
      <name val="Arial"/>
      <scheme val="minor"/>
    </font>
    <font>
      <b/>
      <color theme="1"/>
      <name val="Arial"/>
    </font>
    <font>
      <b/>
      <sz val="15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sz val="15.0"/>
      <color theme="1"/>
      <name val="Arial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3" fillId="0" fontId="3" numFmtId="0" xfId="0" applyAlignment="1" applyBorder="1" applyFont="1">
      <alignment vertical="bottom"/>
    </xf>
    <xf borderId="2" fillId="0" fontId="1" numFmtId="0" xfId="0" applyAlignment="1" applyBorder="1" applyFont="1">
      <alignment horizontal="center" readingOrder="0"/>
    </xf>
    <xf borderId="4" fillId="0" fontId="2" numFmtId="0" xfId="0" applyBorder="1" applyFont="1"/>
    <xf borderId="5" fillId="0" fontId="2" numFmtId="0" xfId="0" applyBorder="1" applyFont="1"/>
    <xf borderId="5" fillId="0" fontId="3" numFmtId="0" xfId="0" applyAlignment="1" applyBorder="1" applyFont="1">
      <alignment vertical="bottom"/>
    </xf>
    <xf borderId="6" fillId="0" fontId="2" numFmtId="0" xfId="0" applyBorder="1" applyFont="1"/>
    <xf borderId="7" fillId="0" fontId="2" numFmtId="0" xfId="0" applyBorder="1" applyFont="1"/>
    <xf borderId="0" fillId="0" fontId="3" numFmtId="0" xfId="0" applyAlignment="1" applyFont="1">
      <alignment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1" fillId="0" fontId="4" numFmtId="0" xfId="0" applyAlignment="1" applyBorder="1" applyFont="1">
      <alignment horizontal="center" readingOrder="0" vertical="top"/>
    </xf>
    <xf borderId="8" fillId="0" fontId="2" numFmtId="0" xfId="0" applyBorder="1" applyFont="1"/>
    <xf borderId="8" fillId="0" fontId="3" numFmtId="0" xfId="0" applyAlignment="1" applyBorder="1" applyFont="1">
      <alignment vertical="bottom"/>
    </xf>
    <xf borderId="1" fillId="0" fontId="1" numFmtId="0" xfId="0" applyAlignment="1" applyBorder="1" applyFont="1">
      <alignment horizontal="center" readingOrder="0" vertical="top"/>
    </xf>
    <xf borderId="4" fillId="0" fontId="1" numFmtId="0" xfId="0" applyAlignment="1" applyBorder="1" applyFont="1">
      <alignment readingOrder="0" vertical="top"/>
    </xf>
    <xf borderId="4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1" fillId="0" fontId="5" numFmtId="0" xfId="0" applyBorder="1" applyFont="1"/>
    <xf borderId="9" fillId="0" fontId="5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/>
    </xf>
    <xf borderId="2" fillId="0" fontId="5" numFmtId="1" xfId="0" applyAlignment="1" applyBorder="1" applyFont="1" applyNumberFormat="1">
      <alignment horizontal="center"/>
    </xf>
    <xf borderId="3" fillId="0" fontId="5" numFmtId="1" xfId="0" applyAlignment="1" applyBorder="1" applyFont="1" applyNumberFormat="1">
      <alignment horizontal="center"/>
    </xf>
    <xf borderId="10" fillId="0" fontId="2" numFmtId="0" xfId="0" applyBorder="1" applyFont="1"/>
    <xf borderId="4" fillId="0" fontId="5" numFmtId="0" xfId="0" applyBorder="1" applyFont="1"/>
    <xf borderId="11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/>
    </xf>
    <xf borderId="11" fillId="0" fontId="5" numFmtId="0" xfId="0" applyAlignment="1" applyBorder="1" applyFont="1">
      <alignment horizontal="center" readingOrder="0" vertical="bottom"/>
    </xf>
    <xf borderId="0" fillId="0" fontId="5" numFmtId="1" xfId="0" applyAlignment="1" applyFont="1" applyNumberFormat="1">
      <alignment horizontal="center"/>
    </xf>
    <xf borderId="4" fillId="0" fontId="5" numFmtId="0" xfId="0" applyAlignment="1" applyBorder="1" applyFont="1">
      <alignment readingOrder="0"/>
    </xf>
    <xf borderId="11" fillId="0" fontId="5" numFmtId="0" xfId="0" applyAlignment="1" applyBorder="1" applyFont="1">
      <alignment horizontal="center"/>
    </xf>
    <xf borderId="1" fillId="0" fontId="6" numFmtId="0" xfId="0" applyBorder="1" applyFont="1"/>
    <xf borderId="0" fillId="0" fontId="7" numFmtId="0" xfId="0" applyAlignment="1" applyFont="1">
      <alignment horizontal="center" vertical="center"/>
    </xf>
    <xf borderId="9" fillId="0" fontId="5" numFmtId="164" xfId="0" applyAlignment="1" applyBorder="1" applyFont="1" applyNumberFormat="1">
      <alignment horizontal="center"/>
    </xf>
    <xf borderId="1" fillId="0" fontId="5" numFmtId="0" xfId="0" applyAlignment="1" applyBorder="1" applyFont="1">
      <alignment readingOrder="0"/>
    </xf>
    <xf borderId="11" fillId="0" fontId="5" numFmtId="0" xfId="0" applyAlignment="1" applyBorder="1" applyFont="1">
      <alignment horizontal="center" readingOrder="0"/>
    </xf>
    <xf borderId="2" fillId="0" fontId="8" numFmtId="0" xfId="0" applyAlignment="1" applyBorder="1" applyFont="1">
      <alignment horizontal="center" readingOrder="0" vertical="bottom"/>
    </xf>
    <xf borderId="2" fillId="0" fontId="9" numFmtId="0" xfId="0" applyAlignment="1" applyBorder="1" applyFont="1">
      <alignment horizontal="center" readingOrder="0" vertical="bottom"/>
    </xf>
    <xf borderId="9" fillId="0" fontId="10" numFmtId="1" xfId="0" applyAlignment="1" applyBorder="1" applyFont="1" applyNumberFormat="1">
      <alignment horizontal="center" readingOrder="0"/>
    </xf>
    <xf borderId="4" fillId="0" fontId="11" numFmtId="0" xfId="0" applyAlignment="1" applyBorder="1" applyFont="1">
      <alignment vertical="bottom"/>
    </xf>
    <xf borderId="0" fillId="0" fontId="11" numFmtId="0" xfId="0" applyAlignment="1" applyFont="1">
      <alignment readingOrder="0" vertical="bottom"/>
    </xf>
    <xf borderId="0" fillId="0" fontId="12" numFmtId="164" xfId="0" applyAlignment="1" applyFont="1" applyNumberFormat="1">
      <alignment horizont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bottom"/>
    </xf>
    <xf borderId="0" fillId="0" fontId="13" numFmtId="0" xfId="0" applyAlignment="1" applyFont="1">
      <alignment horizontal="left" readingOrder="0" vertical="center"/>
    </xf>
    <xf borderId="0" fillId="0" fontId="14" numFmtId="164" xfId="0" applyAlignment="1" applyFont="1" applyNumberFormat="1">
      <alignment horizontal="center" readingOrder="0" vertical="center"/>
    </xf>
    <xf borderId="0" fillId="0" fontId="10" numFmtId="164" xfId="0" applyAlignment="1" applyFont="1" applyNumberFormat="1">
      <alignment horizontal="center" readingOrder="0" vertical="center"/>
    </xf>
    <xf borderId="4" fillId="0" fontId="11" numFmtId="0" xfId="0" applyAlignment="1" applyBorder="1" applyFont="1">
      <alignment vertical="top"/>
    </xf>
    <xf borderId="0" fillId="0" fontId="11" numFmtId="0" xfId="0" applyAlignment="1" applyFont="1">
      <alignment readingOrder="0" vertical="top"/>
    </xf>
    <xf borderId="0" fillId="0" fontId="3" numFmtId="0" xfId="0" applyAlignment="1" applyFont="1">
      <alignment horizontal="left" readingOrder="0" vertical="top"/>
    </xf>
    <xf borderId="0" fillId="0" fontId="11" numFmtId="0" xfId="0" applyAlignment="1" applyFont="1">
      <alignment vertical="top"/>
    </xf>
    <xf borderId="4" fillId="0" fontId="11" numFmtId="0" xfId="0" applyAlignment="1" applyBorder="1" applyFont="1">
      <alignment readingOrder="0" vertical="top"/>
    </xf>
    <xf borderId="0" fillId="0" fontId="3" numFmtId="0" xfId="0" applyAlignment="1" applyFont="1">
      <alignment horizontal="left" readingOrder="0" vertical="center"/>
    </xf>
    <xf borderId="0" fillId="0" fontId="10" numFmtId="164" xfId="0" applyAlignment="1" applyFont="1" applyNumberFormat="1">
      <alignment horizontal="center" readingOrder="0"/>
    </xf>
    <xf borderId="0" fillId="0" fontId="15" numFmtId="0" xfId="0" applyAlignment="1" applyFont="1">
      <alignment horizontal="center" vertical="center"/>
    </xf>
    <xf borderId="0" fillId="0" fontId="12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2">
      <c r="B2" s="1" t="s">
        <v>0</v>
      </c>
      <c r="C2" s="2"/>
      <c r="D2" s="2"/>
      <c r="E2" s="3"/>
      <c r="F2" s="4"/>
      <c r="G2" s="5" t="s">
        <v>1</v>
      </c>
      <c r="H2" s="2"/>
      <c r="I2" s="2"/>
      <c r="J2" s="3"/>
    </row>
    <row r="3">
      <c r="B3" s="6"/>
      <c r="E3" s="7"/>
      <c r="F3" s="8"/>
      <c r="J3" s="7"/>
    </row>
    <row r="4">
      <c r="B4" s="6"/>
      <c r="E4" s="7"/>
      <c r="F4" s="8"/>
      <c r="J4" s="7"/>
    </row>
    <row r="5">
      <c r="B5" s="6"/>
      <c r="E5" s="7"/>
      <c r="F5" s="8"/>
      <c r="G5" s="9"/>
      <c r="H5" s="9"/>
      <c r="I5" s="9"/>
      <c r="J5" s="10"/>
    </row>
    <row r="6">
      <c r="B6" s="6"/>
      <c r="E6" s="7"/>
      <c r="F6" s="11"/>
      <c r="G6" s="12"/>
      <c r="H6" s="12"/>
      <c r="I6" s="12"/>
      <c r="J6" s="13"/>
    </row>
    <row r="7">
      <c r="B7" s="6"/>
      <c r="E7" s="7"/>
      <c r="F7" s="8"/>
      <c r="G7" s="14" t="s">
        <v>2</v>
      </c>
      <c r="H7" s="2"/>
      <c r="I7" s="2"/>
      <c r="J7" s="3"/>
    </row>
    <row r="8">
      <c r="B8" s="6"/>
      <c r="E8" s="7"/>
      <c r="F8" s="8"/>
      <c r="G8" s="6"/>
      <c r="J8" s="7"/>
    </row>
    <row r="9">
      <c r="B9" s="15"/>
      <c r="C9" s="9"/>
      <c r="D9" s="9"/>
      <c r="E9" s="10"/>
      <c r="F9" s="8"/>
      <c r="G9" s="6"/>
      <c r="J9" s="7"/>
    </row>
    <row r="10">
      <c r="B10" s="16"/>
      <c r="C10" s="12"/>
      <c r="D10" s="12"/>
      <c r="E10" s="12"/>
      <c r="F10" s="8"/>
      <c r="G10" s="6"/>
      <c r="J10" s="7"/>
    </row>
    <row r="11">
      <c r="B11" s="17" t="s">
        <v>3</v>
      </c>
      <c r="C11" s="2"/>
      <c r="D11" s="2"/>
      <c r="E11" s="3"/>
      <c r="F11" s="8"/>
      <c r="G11" s="6"/>
      <c r="J11" s="7"/>
    </row>
    <row r="12">
      <c r="B12" s="6"/>
      <c r="E12" s="7"/>
      <c r="F12" s="8"/>
      <c r="G12" s="6"/>
      <c r="J12" s="7"/>
    </row>
    <row r="13">
      <c r="B13" s="6"/>
      <c r="E13" s="7"/>
      <c r="F13" s="8"/>
      <c r="G13" s="6"/>
      <c r="J13" s="7"/>
    </row>
    <row r="14">
      <c r="B14" s="15"/>
      <c r="C14" s="9"/>
      <c r="D14" s="9"/>
      <c r="E14" s="10"/>
      <c r="F14" s="8"/>
      <c r="G14" s="15"/>
      <c r="H14" s="9"/>
      <c r="I14" s="9"/>
      <c r="J14" s="10"/>
    </row>
    <row r="15">
      <c r="B15" s="18" t="s">
        <v>4</v>
      </c>
      <c r="J15" s="7"/>
    </row>
    <row r="16">
      <c r="B16" s="6"/>
      <c r="J16" s="7"/>
    </row>
    <row r="17">
      <c r="B17" s="6"/>
      <c r="J17" s="7"/>
    </row>
    <row r="18">
      <c r="B18" s="6"/>
      <c r="J18" s="7"/>
    </row>
    <row r="19">
      <c r="B19" s="15"/>
      <c r="C19" s="9"/>
      <c r="D19" s="9"/>
      <c r="E19" s="9"/>
      <c r="F19" s="9"/>
      <c r="G19" s="9"/>
      <c r="H19" s="9"/>
      <c r="I19" s="9"/>
      <c r="J19" s="10"/>
    </row>
    <row r="20">
      <c r="B20" s="19" t="s">
        <v>5</v>
      </c>
      <c r="F20" s="7"/>
      <c r="G20" s="20"/>
      <c r="H20" s="21"/>
      <c r="I20" s="3"/>
      <c r="J20" s="21"/>
      <c r="K20" s="3"/>
    </row>
    <row r="21">
      <c r="B21" s="6"/>
      <c r="F21" s="7"/>
      <c r="H21" s="6"/>
      <c r="I21" s="7"/>
      <c r="J21" s="6"/>
      <c r="K21" s="7"/>
    </row>
    <row r="22">
      <c r="B22" s="15"/>
      <c r="C22" s="9"/>
      <c r="D22" s="9"/>
      <c r="E22" s="9"/>
      <c r="F22" s="10"/>
      <c r="G22" s="9"/>
      <c r="H22" s="15"/>
      <c r="I22" s="10"/>
      <c r="J22" s="15"/>
      <c r="K22" s="10"/>
    </row>
    <row r="23">
      <c r="B23" s="22" t="s">
        <v>6</v>
      </c>
      <c r="C23" s="2"/>
      <c r="D23" s="2"/>
      <c r="E23" s="2"/>
      <c r="F23" s="3"/>
      <c r="G23" s="23">
        <v>64.0</v>
      </c>
      <c r="H23" s="24" t="s">
        <v>7</v>
      </c>
      <c r="I23" s="3"/>
      <c r="J23" s="25">
        <f>G23*6</f>
        <v>384</v>
      </c>
      <c r="K23" s="3"/>
      <c r="L23" s="26">
        <f>J23*1.55</f>
        <v>595.2</v>
      </c>
    </row>
    <row r="24">
      <c r="B24" s="15"/>
      <c r="C24" s="9"/>
      <c r="D24" s="9"/>
      <c r="E24" s="9"/>
      <c r="F24" s="10"/>
      <c r="G24" s="27"/>
      <c r="H24" s="9"/>
      <c r="I24" s="10"/>
      <c r="J24" s="9"/>
      <c r="K24" s="10"/>
      <c r="L24" s="10"/>
    </row>
    <row r="25">
      <c r="B25" s="28" t="s">
        <v>8</v>
      </c>
      <c r="F25" s="7"/>
      <c r="G25" s="29">
        <v>64.0</v>
      </c>
      <c r="H25" s="30" t="s">
        <v>7</v>
      </c>
      <c r="I25" s="7"/>
      <c r="J25" s="25">
        <f>G25*6</f>
        <v>384</v>
      </c>
      <c r="K25" s="3"/>
      <c r="L25" s="26">
        <f>J25*1.65</f>
        <v>633.6</v>
      </c>
    </row>
    <row r="26">
      <c r="B26" s="15"/>
      <c r="C26" s="9"/>
      <c r="D26" s="9"/>
      <c r="E26" s="9"/>
      <c r="F26" s="10"/>
      <c r="G26" s="27"/>
      <c r="H26" s="9"/>
      <c r="I26" s="10"/>
      <c r="J26" s="9"/>
      <c r="K26" s="10"/>
      <c r="L26" s="10"/>
    </row>
    <row r="27">
      <c r="B27" s="28" t="s">
        <v>9</v>
      </c>
      <c r="F27" s="7"/>
      <c r="G27" s="29">
        <v>64.0</v>
      </c>
      <c r="H27" s="30" t="s">
        <v>7</v>
      </c>
      <c r="I27" s="7"/>
      <c r="J27" s="25">
        <f>G27*6</f>
        <v>384</v>
      </c>
      <c r="K27" s="3"/>
      <c r="L27" s="26">
        <f>J27*1.65</f>
        <v>633.6</v>
      </c>
    </row>
    <row r="28">
      <c r="B28" s="15"/>
      <c r="C28" s="9"/>
      <c r="D28" s="9"/>
      <c r="E28" s="9"/>
      <c r="F28" s="10"/>
      <c r="G28" s="27"/>
      <c r="H28" s="9"/>
      <c r="I28" s="10"/>
      <c r="J28" s="9"/>
      <c r="K28" s="10"/>
      <c r="L28" s="10"/>
    </row>
    <row r="29">
      <c r="B29" s="28" t="s">
        <v>10</v>
      </c>
      <c r="F29" s="7"/>
      <c r="G29" s="31">
        <v>64.0</v>
      </c>
      <c r="H29" s="30" t="s">
        <v>7</v>
      </c>
      <c r="I29" s="7"/>
      <c r="J29" s="25">
        <f>G29*6</f>
        <v>384</v>
      </c>
      <c r="K29" s="3"/>
      <c r="L29" s="26">
        <f>J29*1.65</f>
        <v>633.6</v>
      </c>
    </row>
    <row r="30">
      <c r="B30" s="15"/>
      <c r="C30" s="9"/>
      <c r="D30" s="9"/>
      <c r="E30" s="9"/>
      <c r="F30" s="10"/>
      <c r="G30" s="27"/>
      <c r="H30" s="9"/>
      <c r="I30" s="10"/>
      <c r="J30" s="9"/>
      <c r="K30" s="10"/>
      <c r="L30" s="10"/>
    </row>
    <row r="31">
      <c r="B31" s="28" t="s">
        <v>11</v>
      </c>
      <c r="F31" s="7"/>
      <c r="G31" s="31">
        <v>64.0</v>
      </c>
      <c r="H31" s="30" t="s">
        <v>7</v>
      </c>
      <c r="I31" s="7"/>
      <c r="J31" s="25">
        <f>G31*6</f>
        <v>384</v>
      </c>
      <c r="K31" s="3"/>
      <c r="L31" s="26">
        <f>J31*1.45</f>
        <v>556.8</v>
      </c>
    </row>
    <row r="32">
      <c r="B32" s="15"/>
      <c r="C32" s="9"/>
      <c r="D32" s="9"/>
      <c r="E32" s="9"/>
      <c r="F32" s="10"/>
      <c r="G32" s="27"/>
      <c r="H32" s="9"/>
      <c r="I32" s="10"/>
      <c r="J32" s="9"/>
      <c r="K32" s="10"/>
      <c r="L32" s="10"/>
    </row>
    <row r="33">
      <c r="B33" s="28" t="s">
        <v>12</v>
      </c>
      <c r="F33" s="7"/>
      <c r="G33" s="31">
        <v>64.0</v>
      </c>
      <c r="H33" s="30" t="s">
        <v>7</v>
      </c>
      <c r="I33" s="7"/>
      <c r="J33" s="25">
        <f>G33*6</f>
        <v>384</v>
      </c>
      <c r="K33" s="3"/>
      <c r="L33" s="26">
        <f>J33*1.55</f>
        <v>595.2</v>
      </c>
    </row>
    <row r="34">
      <c r="B34" s="15"/>
      <c r="C34" s="9"/>
      <c r="D34" s="9"/>
      <c r="E34" s="9"/>
      <c r="F34" s="10"/>
      <c r="G34" s="27"/>
      <c r="H34" s="9"/>
      <c r="I34" s="10"/>
      <c r="J34" s="9"/>
      <c r="K34" s="10"/>
      <c r="L34" s="10"/>
    </row>
    <row r="35">
      <c r="B35" s="28" t="s">
        <v>13</v>
      </c>
      <c r="F35" s="7"/>
      <c r="G35" s="31">
        <v>0.0</v>
      </c>
      <c r="H35" s="30" t="s">
        <v>7</v>
      </c>
      <c r="I35" s="7"/>
      <c r="J35" s="25">
        <f>G35*6</f>
        <v>0</v>
      </c>
      <c r="K35" s="3"/>
      <c r="L35" s="26">
        <f>J35*1.55</f>
        <v>0</v>
      </c>
    </row>
    <row r="36">
      <c r="B36" s="15"/>
      <c r="C36" s="9"/>
      <c r="D36" s="9"/>
      <c r="E36" s="9"/>
      <c r="F36" s="10"/>
      <c r="G36" s="27"/>
      <c r="H36" s="9"/>
      <c r="I36" s="10"/>
      <c r="J36" s="9"/>
      <c r="K36" s="10"/>
      <c r="L36" s="10"/>
    </row>
    <row r="37">
      <c r="B37" s="28" t="s">
        <v>14</v>
      </c>
      <c r="F37" s="7"/>
      <c r="G37" s="31">
        <v>10.0</v>
      </c>
      <c r="H37" s="30" t="s">
        <v>7</v>
      </c>
      <c r="I37" s="7"/>
      <c r="J37" s="32">
        <f>G37*12</f>
        <v>120</v>
      </c>
      <c r="K37" s="7"/>
      <c r="L37" s="26">
        <f>J37*0.85</f>
        <v>102</v>
      </c>
    </row>
    <row r="38">
      <c r="B38" s="15"/>
      <c r="C38" s="9"/>
      <c r="D38" s="9"/>
      <c r="E38" s="9"/>
      <c r="F38" s="10"/>
      <c r="G38" s="27"/>
      <c r="H38" s="9"/>
      <c r="I38" s="10"/>
      <c r="J38" s="9"/>
      <c r="K38" s="10"/>
      <c r="L38" s="10"/>
    </row>
    <row r="39">
      <c r="B39" s="28" t="s">
        <v>15</v>
      </c>
      <c r="F39" s="7"/>
      <c r="G39" s="31">
        <v>0.0</v>
      </c>
      <c r="H39" s="30" t="s">
        <v>7</v>
      </c>
      <c r="I39" s="7"/>
      <c r="J39" s="32">
        <f>G39*12</f>
        <v>0</v>
      </c>
      <c r="K39" s="7"/>
      <c r="L39" s="26">
        <f>J39*0.9</f>
        <v>0</v>
      </c>
    </row>
    <row r="40">
      <c r="B40" s="15"/>
      <c r="C40" s="9"/>
      <c r="D40" s="9"/>
      <c r="E40" s="9"/>
      <c r="F40" s="10"/>
      <c r="G40" s="27"/>
      <c r="H40" s="9"/>
      <c r="I40" s="10"/>
      <c r="J40" s="9"/>
      <c r="K40" s="10"/>
      <c r="L40" s="10"/>
    </row>
    <row r="41">
      <c r="B41" s="28" t="s">
        <v>16</v>
      </c>
      <c r="F41" s="7"/>
      <c r="G41" s="31">
        <v>5.0</v>
      </c>
      <c r="H41" s="30" t="s">
        <v>7</v>
      </c>
      <c r="I41" s="7"/>
      <c r="J41" s="32">
        <f>G41*12</f>
        <v>60</v>
      </c>
      <c r="K41" s="7"/>
      <c r="L41" s="26">
        <f>J41*0.9</f>
        <v>54</v>
      </c>
    </row>
    <row r="42">
      <c r="B42" s="15"/>
      <c r="C42" s="9"/>
      <c r="D42" s="9"/>
      <c r="E42" s="9"/>
      <c r="F42" s="10"/>
      <c r="G42" s="27"/>
      <c r="H42" s="9"/>
      <c r="I42" s="10"/>
      <c r="J42" s="9"/>
      <c r="K42" s="10"/>
      <c r="L42" s="10"/>
    </row>
    <row r="43">
      <c r="B43" s="33" t="s">
        <v>17</v>
      </c>
      <c r="F43" s="7"/>
      <c r="G43" s="31">
        <v>7.0</v>
      </c>
      <c r="H43" s="30" t="s">
        <v>7</v>
      </c>
      <c r="I43" s="7"/>
      <c r="J43" s="32">
        <f>G43*16</f>
        <v>112</v>
      </c>
      <c r="K43" s="7"/>
      <c r="L43" s="26">
        <f>J43*0.85</f>
        <v>95.2</v>
      </c>
    </row>
    <row r="44">
      <c r="B44" s="15"/>
      <c r="C44" s="9"/>
      <c r="D44" s="9"/>
      <c r="E44" s="9"/>
      <c r="F44" s="10"/>
      <c r="G44" s="27"/>
      <c r="H44" s="9"/>
      <c r="I44" s="10"/>
      <c r="J44" s="9"/>
      <c r="K44" s="10"/>
      <c r="L44" s="10"/>
    </row>
    <row r="45">
      <c r="B45" s="33" t="s">
        <v>18</v>
      </c>
      <c r="F45" s="7"/>
      <c r="G45" s="31">
        <v>2.0</v>
      </c>
      <c r="H45" s="30" t="s">
        <v>7</v>
      </c>
      <c r="I45" s="7"/>
      <c r="J45" s="32">
        <f>G45*16</f>
        <v>32</v>
      </c>
      <c r="K45" s="7"/>
      <c r="L45" s="26">
        <f>J45*0.9</f>
        <v>28.8</v>
      </c>
    </row>
    <row r="46">
      <c r="B46" s="15"/>
      <c r="C46" s="9"/>
      <c r="D46" s="9"/>
      <c r="E46" s="9"/>
      <c r="F46" s="10"/>
      <c r="G46" s="27"/>
      <c r="H46" s="9"/>
      <c r="I46" s="10"/>
      <c r="J46" s="9"/>
      <c r="K46" s="10"/>
      <c r="L46" s="10"/>
    </row>
    <row r="47">
      <c r="B47" s="33" t="s">
        <v>19</v>
      </c>
      <c r="F47" s="7"/>
      <c r="G47" s="31">
        <v>15.0</v>
      </c>
      <c r="H47" s="30" t="s">
        <v>7</v>
      </c>
      <c r="I47" s="7"/>
      <c r="J47" s="32">
        <f>G47*16</f>
        <v>240</v>
      </c>
      <c r="K47" s="7"/>
      <c r="L47" s="26">
        <f>J47*0.9</f>
        <v>216</v>
      </c>
    </row>
    <row r="48">
      <c r="B48" s="15"/>
      <c r="C48" s="9"/>
      <c r="D48" s="9"/>
      <c r="E48" s="9"/>
      <c r="F48" s="10"/>
      <c r="G48" s="27"/>
      <c r="H48" s="9"/>
      <c r="I48" s="10"/>
      <c r="J48" s="9"/>
      <c r="K48" s="10"/>
      <c r="L48" s="10"/>
    </row>
    <row r="49">
      <c r="G49" s="34">
        <f>SUM(G23:G48)</f>
        <v>423</v>
      </c>
      <c r="H49" s="35"/>
      <c r="I49" s="3"/>
      <c r="J49" s="36">
        <f>SUM(J21:J48)</f>
        <v>2868</v>
      </c>
      <c r="L49" s="37">
        <f>SUM(L23:L48)</f>
        <v>4144</v>
      </c>
    </row>
    <row r="50">
      <c r="G50" s="27"/>
      <c r="H50" s="15"/>
      <c r="I50" s="10"/>
      <c r="L50" s="27"/>
    </row>
    <row r="51">
      <c r="B51" s="38" t="s">
        <v>20</v>
      </c>
      <c r="C51" s="2"/>
      <c r="D51" s="2"/>
      <c r="E51" s="2"/>
      <c r="F51" s="3"/>
      <c r="G51" s="39" t="s">
        <v>21</v>
      </c>
      <c r="H51" s="40" t="s">
        <v>7</v>
      </c>
      <c r="I51" s="3"/>
      <c r="J51" s="41">
        <v>0.0</v>
      </c>
      <c r="K51" s="3"/>
      <c r="L51" s="42">
        <f>J51*0.22</f>
        <v>0</v>
      </c>
    </row>
    <row r="52">
      <c r="B52" s="15"/>
      <c r="C52" s="9"/>
      <c r="D52" s="9"/>
      <c r="E52" s="9"/>
      <c r="F52" s="10"/>
      <c r="G52" s="27"/>
      <c r="H52" s="9"/>
      <c r="I52" s="10"/>
      <c r="J52" s="9"/>
      <c r="K52" s="10"/>
      <c r="L52" s="27"/>
    </row>
    <row r="53">
      <c r="B53" s="43" t="s">
        <v>22</v>
      </c>
      <c r="E53" s="7"/>
      <c r="F53" s="44" t="s">
        <v>23</v>
      </c>
      <c r="G53" s="7"/>
      <c r="H53" s="11"/>
      <c r="I53" s="11"/>
      <c r="J53" s="11"/>
      <c r="K53" s="11"/>
      <c r="L53" s="45">
        <f>L49+L51</f>
        <v>4144</v>
      </c>
    </row>
    <row r="54">
      <c r="B54" s="6"/>
      <c r="E54" s="7"/>
      <c r="G54" s="7"/>
      <c r="H54" s="11"/>
      <c r="I54" s="46"/>
      <c r="K54" s="11"/>
    </row>
    <row r="55">
      <c r="B55" s="6"/>
      <c r="E55" s="7"/>
      <c r="G55" s="7"/>
      <c r="H55" s="47"/>
      <c r="I55" s="48"/>
      <c r="K55" s="49"/>
      <c r="L55" s="50"/>
    </row>
    <row r="56">
      <c r="B56" s="15"/>
      <c r="C56" s="9"/>
      <c r="D56" s="9"/>
      <c r="E56" s="10"/>
      <c r="F56" s="9"/>
      <c r="G56" s="10"/>
      <c r="H56" s="12"/>
    </row>
    <row r="57">
      <c r="B57" s="51" t="s">
        <v>24</v>
      </c>
      <c r="E57" s="7"/>
      <c r="F57" s="52" t="s">
        <v>25</v>
      </c>
      <c r="G57" s="53">
        <f>G49</f>
        <v>423</v>
      </c>
      <c r="H57" s="7"/>
      <c r="I57" s="48"/>
      <c r="K57" s="49"/>
      <c r="L57" s="50"/>
    </row>
    <row r="58">
      <c r="B58" s="6"/>
      <c r="E58" s="7"/>
      <c r="F58" s="52"/>
      <c r="H58" s="7"/>
    </row>
    <row r="59">
      <c r="B59" s="6"/>
      <c r="E59" s="7"/>
      <c r="F59" s="9"/>
      <c r="G59" s="9"/>
      <c r="H59" s="10"/>
    </row>
    <row r="60">
      <c r="B60" s="6"/>
      <c r="E60" s="7"/>
      <c r="F60" s="54" t="s">
        <v>26</v>
      </c>
      <c r="H60" s="7"/>
    </row>
    <row r="61">
      <c r="B61" s="6"/>
      <c r="E61" s="7"/>
      <c r="H61" s="7"/>
    </row>
    <row r="62">
      <c r="B62" s="15"/>
      <c r="C62" s="9"/>
      <c r="D62" s="9"/>
      <c r="E62" s="10"/>
      <c r="F62" s="9"/>
      <c r="G62" s="9"/>
      <c r="H62" s="10"/>
    </row>
    <row r="63">
      <c r="B63" s="55" t="s">
        <v>27</v>
      </c>
      <c r="H63" s="7"/>
      <c r="I63" s="56"/>
      <c r="K63" s="49"/>
      <c r="L63" s="57"/>
    </row>
    <row r="64">
      <c r="B64" s="6"/>
      <c r="H64" s="7"/>
    </row>
    <row r="65">
      <c r="B65" s="15"/>
      <c r="C65" s="9"/>
      <c r="D65" s="9"/>
      <c r="E65" s="9"/>
      <c r="F65" s="9"/>
      <c r="G65" s="9"/>
      <c r="H65" s="10"/>
    </row>
    <row r="66">
      <c r="B66" s="51" t="s">
        <v>28</v>
      </c>
      <c r="H66" s="7"/>
    </row>
    <row r="67">
      <c r="B67" s="15"/>
      <c r="C67" s="9"/>
      <c r="D67" s="9"/>
      <c r="E67" s="9"/>
      <c r="F67" s="9"/>
      <c r="G67" s="9"/>
      <c r="H67" s="10"/>
      <c r="I67" s="11"/>
      <c r="J67" s="11"/>
      <c r="K67" s="58"/>
    </row>
    <row r="68">
      <c r="B68" s="51" t="s">
        <v>29</v>
      </c>
      <c r="H68" s="7"/>
      <c r="I68" s="11"/>
      <c r="J68" s="11"/>
    </row>
    <row r="69">
      <c r="B69" s="15"/>
      <c r="C69" s="9"/>
      <c r="D69" s="9"/>
      <c r="E69" s="9"/>
      <c r="F69" s="9"/>
      <c r="G69" s="9"/>
      <c r="H69" s="10"/>
      <c r="I69" s="11"/>
      <c r="J69" s="11"/>
      <c r="K69" s="11"/>
    </row>
    <row r="70">
      <c r="B70" s="51" t="s">
        <v>30</v>
      </c>
      <c r="H70" s="7"/>
      <c r="I70" s="11"/>
      <c r="J70" s="11"/>
      <c r="K70" s="11"/>
      <c r="L70" s="59"/>
    </row>
    <row r="71">
      <c r="B71" s="15"/>
      <c r="C71" s="9"/>
      <c r="D71" s="9"/>
      <c r="E71" s="9"/>
      <c r="F71" s="9"/>
      <c r="G71" s="9"/>
      <c r="H71" s="10"/>
      <c r="I71" s="11"/>
      <c r="J71" s="11"/>
      <c r="K71" s="11"/>
    </row>
  </sheetData>
  <mergeCells count="107">
    <mergeCell ref="H20:I22"/>
    <mergeCell ref="J20:K22"/>
    <mergeCell ref="B2:E9"/>
    <mergeCell ref="G2:J5"/>
    <mergeCell ref="G7:J14"/>
    <mergeCell ref="B11:E14"/>
    <mergeCell ref="B15:J19"/>
    <mergeCell ref="B20:F22"/>
    <mergeCell ref="G20:G22"/>
    <mergeCell ref="H25:I26"/>
    <mergeCell ref="J25:K26"/>
    <mergeCell ref="B23:F24"/>
    <mergeCell ref="G23:G24"/>
    <mergeCell ref="H23:I24"/>
    <mergeCell ref="J23:K24"/>
    <mergeCell ref="L23:L24"/>
    <mergeCell ref="G25:G26"/>
    <mergeCell ref="L25:L26"/>
    <mergeCell ref="G29:G30"/>
    <mergeCell ref="H29:I30"/>
    <mergeCell ref="J29:K30"/>
    <mergeCell ref="L29:L30"/>
    <mergeCell ref="B25:F26"/>
    <mergeCell ref="B27:F28"/>
    <mergeCell ref="G27:G28"/>
    <mergeCell ref="H27:I28"/>
    <mergeCell ref="J27:K28"/>
    <mergeCell ref="L27:L28"/>
    <mergeCell ref="B29:F30"/>
    <mergeCell ref="B39:F40"/>
    <mergeCell ref="G39:G40"/>
    <mergeCell ref="H39:I40"/>
    <mergeCell ref="J39:K40"/>
    <mergeCell ref="L39:L40"/>
    <mergeCell ref="G41:G42"/>
    <mergeCell ref="L41:L42"/>
    <mergeCell ref="J45:K46"/>
    <mergeCell ref="L45:L46"/>
    <mergeCell ref="B41:F42"/>
    <mergeCell ref="B43:F44"/>
    <mergeCell ref="G43:G44"/>
    <mergeCell ref="H43:I44"/>
    <mergeCell ref="J43:K44"/>
    <mergeCell ref="L43:L44"/>
    <mergeCell ref="B45:F46"/>
    <mergeCell ref="H51:I52"/>
    <mergeCell ref="J51:K52"/>
    <mergeCell ref="L53:L54"/>
    <mergeCell ref="I54:J54"/>
    <mergeCell ref="I55:J56"/>
    <mergeCell ref="K55:K56"/>
    <mergeCell ref="L55:L56"/>
    <mergeCell ref="B49:F50"/>
    <mergeCell ref="G49:G50"/>
    <mergeCell ref="H49:I50"/>
    <mergeCell ref="J49:K50"/>
    <mergeCell ref="L49:L50"/>
    <mergeCell ref="G51:G52"/>
    <mergeCell ref="L51:L52"/>
    <mergeCell ref="G57:H57"/>
    <mergeCell ref="F58:H59"/>
    <mergeCell ref="B51:F52"/>
    <mergeCell ref="B53:E56"/>
    <mergeCell ref="F53:G56"/>
    <mergeCell ref="B57:E62"/>
    <mergeCell ref="I57:J62"/>
    <mergeCell ref="K57:K62"/>
    <mergeCell ref="L57:L62"/>
    <mergeCell ref="B68:H69"/>
    <mergeCell ref="B70:H71"/>
    <mergeCell ref="L70:L72"/>
    <mergeCell ref="F60:H62"/>
    <mergeCell ref="B63:H65"/>
    <mergeCell ref="I63:J66"/>
    <mergeCell ref="K63:K66"/>
    <mergeCell ref="L63:L66"/>
    <mergeCell ref="B66:H67"/>
    <mergeCell ref="K67:K68"/>
    <mergeCell ref="H33:I34"/>
    <mergeCell ref="J33:K34"/>
    <mergeCell ref="B31:F32"/>
    <mergeCell ref="G31:G32"/>
    <mergeCell ref="H31:I32"/>
    <mergeCell ref="J31:K32"/>
    <mergeCell ref="L31:L32"/>
    <mergeCell ref="G33:G34"/>
    <mergeCell ref="L33:L34"/>
    <mergeCell ref="G37:G38"/>
    <mergeCell ref="H37:I38"/>
    <mergeCell ref="J37:K38"/>
    <mergeCell ref="L37:L38"/>
    <mergeCell ref="B33:F34"/>
    <mergeCell ref="B35:F36"/>
    <mergeCell ref="G35:G36"/>
    <mergeCell ref="H35:I36"/>
    <mergeCell ref="J35:K36"/>
    <mergeCell ref="L35:L36"/>
    <mergeCell ref="B37:F38"/>
    <mergeCell ref="H41:I42"/>
    <mergeCell ref="J41:K42"/>
    <mergeCell ref="G45:G46"/>
    <mergeCell ref="H45:I46"/>
    <mergeCell ref="B47:F48"/>
    <mergeCell ref="G47:G48"/>
    <mergeCell ref="H47:I48"/>
    <mergeCell ref="J47:K48"/>
    <mergeCell ref="L47:L48"/>
  </mergeCells>
  <printOptions horizontalCentered="1"/>
  <pageMargins bottom="0.75" footer="0.0" header="0.0" left="0.0" right="0.4407272388088706" top="0.5543128131710809"/>
  <pageSetup paperSize="9" cellComments="atEnd" orientation="portrait" pageOrder="overThenDown"/>
  <drawing r:id="rId1"/>
</worksheet>
</file>